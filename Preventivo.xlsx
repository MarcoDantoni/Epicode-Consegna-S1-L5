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wnloads\Epicode\Esercizi\Consegna S1-L5\"/>
    </mc:Choice>
  </mc:AlternateContent>
  <xr:revisionPtr revIDLastSave="0" documentId="13_ncr:1_{11828393-06AA-412B-A8B2-36FEC29D7621}" xr6:coauthVersionLast="47" xr6:coauthVersionMax="47" xr10:uidLastSave="{00000000-0000-0000-0000-000000000000}"/>
  <bookViews>
    <workbookView xWindow="-120" yWindow="-120" windowWidth="29040" windowHeight="15840" xr2:uid="{30F4C295-B35D-4BF5-9C41-C0A1E1B2D0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G5" i="1"/>
  <c r="H5" i="1" s="1"/>
  <c r="G7" i="1"/>
  <c r="H7" i="1" s="1"/>
  <c r="G6" i="1"/>
  <c r="H6" i="1" s="1"/>
  <c r="G3" i="1"/>
  <c r="H3" i="1" s="1"/>
  <c r="H11" i="1" l="1"/>
  <c r="H12" i="1" s="1"/>
</calcChain>
</file>

<file path=xl/sharedStrings.xml><?xml version="1.0" encoding="utf-8"?>
<sst xmlns="http://schemas.openxmlformats.org/spreadsheetml/2006/main" count="19" uniqueCount="19">
  <si>
    <t>Switch</t>
  </si>
  <si>
    <t>Modello</t>
  </si>
  <si>
    <t>Costo Singola Unità</t>
  </si>
  <si>
    <t>Numero per piano</t>
  </si>
  <si>
    <t>Router</t>
  </si>
  <si>
    <t>Cisco CISCO1941/K9</t>
  </si>
  <si>
    <t>PC</t>
  </si>
  <si>
    <t>Costo Installazione</t>
  </si>
  <si>
    <t>Cablaggio</t>
  </si>
  <si>
    <t>Access Point</t>
  </si>
  <si>
    <t>Access point Cisco Aironet 1850 Bianco [AIR-AP1852I-E-K9]</t>
  </si>
  <si>
    <t>Cat 6 100 metri</t>
  </si>
  <si>
    <t>Oggetto</t>
  </si>
  <si>
    <t>Costo Totale Unità</t>
  </si>
  <si>
    <t>Costo Totale Preventivo</t>
  </si>
  <si>
    <t>Numero Totale</t>
  </si>
  <si>
    <t>Cisco Business CBS220-48T-4G Smart Switch</t>
  </si>
  <si>
    <t xml:space="preserve">Budget </t>
  </si>
  <si>
    <t>Budget Rimanente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</si>
</sst>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247650</xdr:colOff>
      <xdr:row>3</xdr:row>
      <xdr:rowOff>66675</xdr:rowOff>
    </xdr:from>
    <xdr:to>
      <xdr:col>2</xdr:col>
      <xdr:colOff>1847850</xdr:colOff>
      <xdr:row>3</xdr:row>
      <xdr:rowOff>663223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144E7D-8D1C-5A63-B951-D03AECB10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62200" y="1333500"/>
          <a:ext cx="1600200" cy="596548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276225</xdr:colOff>
      <xdr:row>4</xdr:row>
      <xdr:rowOff>38100</xdr:rowOff>
    </xdr:from>
    <xdr:to>
      <xdr:col>2</xdr:col>
      <xdr:colOff>1924050</xdr:colOff>
      <xdr:row>4</xdr:row>
      <xdr:rowOff>1724069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F4469D-F28D-50F4-641F-68713EEB8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0775" y="2038350"/>
          <a:ext cx="1647825" cy="1685969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</xdr:row>
      <xdr:rowOff>66675</xdr:rowOff>
    </xdr:from>
    <xdr:to>
      <xdr:col>2</xdr:col>
      <xdr:colOff>2126726</xdr:colOff>
      <xdr:row>2</xdr:row>
      <xdr:rowOff>676274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938F05-506F-1859-1560-3DAA0A6D37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52650" y="447675"/>
          <a:ext cx="2088626" cy="6095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1353-8BAD-4131-AB8D-7588EA918176}">
  <dimension ref="B2:H12"/>
  <sheetViews>
    <sheetView tabSelected="1" workbookViewId="0">
      <selection activeCell="F5" sqref="F5"/>
    </sheetView>
  </sheetViews>
  <sheetFormatPr defaultRowHeight="15" x14ac:dyDescent="0.25"/>
  <cols>
    <col min="2" max="2" width="22.5703125" bestFit="1" customWidth="1"/>
    <col min="3" max="3" width="32.85546875" customWidth="1"/>
    <col min="4" max="4" width="53.42578125" bestFit="1" customWidth="1"/>
    <col min="5" max="5" width="18.42578125" bestFit="1" customWidth="1"/>
    <col min="6" max="6" width="22.5703125" bestFit="1" customWidth="1"/>
    <col min="7" max="7" width="22.5703125" customWidth="1"/>
    <col min="8" max="8" width="17.42578125" bestFit="1" customWidth="1"/>
  </cols>
  <sheetData>
    <row r="2" spans="2:8" x14ac:dyDescent="0.25">
      <c r="B2" s="2" t="s">
        <v>12</v>
      </c>
      <c r="C2" s="2"/>
      <c r="D2" s="2" t="s">
        <v>1</v>
      </c>
      <c r="E2" s="2" t="s">
        <v>2</v>
      </c>
      <c r="F2" s="2" t="s">
        <v>3</v>
      </c>
      <c r="G2" s="2" t="s">
        <v>15</v>
      </c>
      <c r="H2" s="2" t="s">
        <v>13</v>
      </c>
    </row>
    <row r="3" spans="2:8" ht="69.75" customHeight="1" x14ac:dyDescent="0.25">
      <c r="B3" s="4" t="s">
        <v>0</v>
      </c>
      <c r="C3" s="4"/>
      <c r="D3" s="4" t="s">
        <v>16</v>
      </c>
      <c r="E3" s="4">
        <v>340</v>
      </c>
      <c r="F3" s="4">
        <v>1</v>
      </c>
      <c r="G3" s="4">
        <f>F3*8</f>
        <v>8</v>
      </c>
      <c r="H3" s="4">
        <f>E3*G3</f>
        <v>2720</v>
      </c>
    </row>
    <row r="4" spans="2:8" ht="57.75" customHeight="1" x14ac:dyDescent="0.25">
      <c r="B4" s="4" t="s">
        <v>4</v>
      </c>
      <c r="C4" s="4"/>
      <c r="D4" s="4" t="s">
        <v>5</v>
      </c>
      <c r="E4" s="4">
        <v>350</v>
      </c>
      <c r="F4" s="4"/>
      <c r="G4" s="4">
        <v>3</v>
      </c>
      <c r="H4" s="4">
        <f t="shared" ref="H4:H7" si="0">E4*G4</f>
        <v>1050</v>
      </c>
    </row>
    <row r="5" spans="2:8" ht="140.25" customHeight="1" x14ac:dyDescent="0.25">
      <c r="B5" s="4" t="s">
        <v>9</v>
      </c>
      <c r="C5" s="4"/>
      <c r="D5" s="4" t="s">
        <v>10</v>
      </c>
      <c r="E5" s="4">
        <v>550</v>
      </c>
      <c r="F5" s="4">
        <v>1</v>
      </c>
      <c r="G5" s="4">
        <f t="shared" ref="G4:G7" si="1">F5*8</f>
        <v>8</v>
      </c>
      <c r="H5" s="4">
        <f t="shared" si="0"/>
        <v>4400</v>
      </c>
    </row>
    <row r="6" spans="2:8" ht="19.5" customHeight="1" x14ac:dyDescent="0.25">
      <c r="B6" s="4" t="s">
        <v>8</v>
      </c>
      <c r="C6" s="4"/>
      <c r="D6" s="4" t="s">
        <v>11</v>
      </c>
      <c r="E6" s="4">
        <v>70</v>
      </c>
      <c r="F6" s="4">
        <v>5</v>
      </c>
      <c r="G6" s="4">
        <f>F6*8</f>
        <v>40</v>
      </c>
      <c r="H6" s="4">
        <f>E6*G6</f>
        <v>2800</v>
      </c>
    </row>
    <row r="7" spans="2:8" x14ac:dyDescent="0.25">
      <c r="B7" s="4" t="s">
        <v>6</v>
      </c>
      <c r="C7" s="4"/>
      <c r="D7" s="4"/>
      <c r="E7" s="4">
        <v>1000</v>
      </c>
      <c r="F7" s="4">
        <v>30</v>
      </c>
      <c r="G7" s="4">
        <f t="shared" si="1"/>
        <v>240</v>
      </c>
      <c r="H7" s="4">
        <f t="shared" si="0"/>
        <v>240000</v>
      </c>
    </row>
    <row r="8" spans="2:8" x14ac:dyDescent="0.25">
      <c r="B8" s="4" t="s">
        <v>7</v>
      </c>
      <c r="C8" s="4"/>
      <c r="D8" s="4"/>
      <c r="E8" s="4"/>
      <c r="F8" s="4"/>
      <c r="G8" s="4"/>
      <c r="H8" s="4">
        <v>3500</v>
      </c>
    </row>
    <row r="10" spans="2:8" x14ac:dyDescent="0.25">
      <c r="D10" s="3"/>
      <c r="E10" s="3"/>
      <c r="G10" s="4" t="s">
        <v>17</v>
      </c>
      <c r="H10" s="4">
        <v>300000</v>
      </c>
    </row>
    <row r="11" spans="2:8" x14ac:dyDescent="0.25">
      <c r="G11" s="1" t="s">
        <v>14</v>
      </c>
      <c r="H11" s="1">
        <f>SUM(H3:H8)</f>
        <v>254470</v>
      </c>
    </row>
    <row r="12" spans="2:8" x14ac:dyDescent="0.25">
      <c r="G12" s="4" t="s">
        <v>18</v>
      </c>
      <c r="H12" s="4">
        <f>H10-H11</f>
        <v>45530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</cp:lastModifiedBy>
  <dcterms:created xsi:type="dcterms:W3CDTF">2023-12-01T09:59:55Z</dcterms:created>
  <dcterms:modified xsi:type="dcterms:W3CDTF">2023-12-04T15:07:47Z</dcterms:modified>
</cp:coreProperties>
</file>